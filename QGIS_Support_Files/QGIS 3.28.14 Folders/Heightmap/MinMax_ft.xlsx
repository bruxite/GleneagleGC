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OPCD\QGIS\QGIS_Support_Files\"/>
    </mc:Choice>
  </mc:AlternateContent>
  <xr:revisionPtr revIDLastSave="0" documentId="13_ncr:1_{54C319C1-51A1-45C7-9A7F-F0DD99A461A2}" xr6:coauthVersionLast="47" xr6:coauthVersionMax="47" xr10:uidLastSave="{00000000-0000-0000-0000-000000000000}"/>
  <bookViews>
    <workbookView xWindow="31215" yWindow="2100" windowWidth="21600" windowHeight="11505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4" i="1" l="1"/>
  <c r="C10" i="1"/>
  <c r="D3" i="1"/>
  <c r="D9" i="1"/>
  <c r="C7" i="1" l="1"/>
  <c r="D19" i="1"/>
  <c r="C13" i="1"/>
  <c r="E19" i="1" l="1"/>
  <c r="C19" i="1"/>
</calcChain>
</file>

<file path=xl/sharedStrings.xml><?xml version="1.0" encoding="utf-8"?>
<sst xmlns="http://schemas.openxmlformats.org/spreadsheetml/2006/main" count="19" uniqueCount="16">
  <si>
    <t>MAX (ft)</t>
  </si>
  <si>
    <t>MIN (ft)</t>
  </si>
  <si>
    <t>TERRAIN HEIGHT (m)</t>
  </si>
  <si>
    <t>X</t>
  </si>
  <si>
    <t>Y</t>
  </si>
  <si>
    <t>Z</t>
  </si>
  <si>
    <t>POSITION</t>
  </si>
  <si>
    <t>UNITY Terrain (Outer) Transform Settings</t>
  </si>
  <si>
    <r>
      <t>OUTER</t>
    </r>
    <r>
      <rPr>
        <sz val="8"/>
        <color rgb="FF000000"/>
        <rFont val="Calibri"/>
        <family val="2"/>
      </rPr>
      <t xml:space="preserve"> (feet)</t>
    </r>
  </si>
  <si>
    <r>
      <t>OUTER</t>
    </r>
    <r>
      <rPr>
        <sz val="8"/>
        <color rgb="FF000000"/>
        <rFont val="Calibri"/>
        <family val="2"/>
      </rPr>
      <t xml:space="preserve"> (meters)</t>
    </r>
  </si>
  <si>
    <r>
      <t xml:space="preserve">INNER </t>
    </r>
    <r>
      <rPr>
        <sz val="8"/>
        <color rgb="FF000000"/>
        <rFont val="Calibri"/>
        <family val="2"/>
      </rPr>
      <t>(feet)</t>
    </r>
  </si>
  <si>
    <r>
      <t xml:space="preserve">INNER </t>
    </r>
    <r>
      <rPr>
        <sz val="8"/>
        <color rgb="FF000000"/>
        <rFont val="Calibri"/>
        <family val="2"/>
      </rPr>
      <t>(meters)</t>
    </r>
  </si>
  <si>
    <r>
      <rPr>
        <b/>
        <u/>
        <sz val="10"/>
        <rFont val="Arial"/>
        <family val="2"/>
      </rPr>
      <t>DO NOT</t>
    </r>
    <r>
      <rPr>
        <sz val="10"/>
        <rFont val="Arial"/>
        <family val="2"/>
        <charset val="1"/>
      </rPr>
      <t xml:space="preserve"> convert to meters. Input these MAX/MIN Values into </t>
    </r>
    <r>
      <rPr>
        <sz val="10"/>
        <rFont val="Arial"/>
        <family val="2"/>
      </rPr>
      <t xml:space="preserve">INNER-TIFtoRAW-Heightmap.bat </t>
    </r>
  </si>
  <si>
    <r>
      <rPr>
        <b/>
        <u/>
        <sz val="10"/>
        <rFont val="Arial"/>
        <family val="2"/>
      </rPr>
      <t>DO NOT</t>
    </r>
    <r>
      <rPr>
        <sz val="10"/>
        <rFont val="Arial"/>
        <family val="2"/>
        <charset val="1"/>
      </rPr>
      <t xml:space="preserve"> convert to meters. Input these MAX/MIN Values into OUT</t>
    </r>
    <r>
      <rPr>
        <sz val="10"/>
        <rFont val="Arial"/>
        <family val="2"/>
      </rPr>
      <t xml:space="preserve">ER-TIFtoRAW-Heightmap.bat </t>
    </r>
  </si>
  <si>
    <t>Input the meter value into the Outer Terrain Width and Length in Unity's Terrain settings</t>
  </si>
  <si>
    <t>Input the meter value into the Inner Terrain Width and Length in Unity's Terrain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</si>
</sst>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8"/>
      <color rgb="FF000000"/>
      <name val="Calibri"/>
      <family val="2"/>
    </font>
    <font>
      <sz val="10"/>
      <name val="Arial"/>
      <family val="2"/>
    </font>
    <font>
      <sz val="10"/>
      <color theme="0"/>
      <name val="Arial"/>
      <family val="2"/>
      <charset val="1"/>
    </font>
    <font>
      <b/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4" xfId="0" applyFont="1" applyBorder="1" applyProtection="1">
      <protection locked="0"/>
    </xf>
    <xf numFmtId="0" fontId="0" fillId="0" borderId="4" xfId="0" applyBorder="1" applyProtection="1">
      <protection locked="0"/>
    </xf>
    <xf numFmtId="0" fontId="0" fillId="0" borderId="9" xfId="0" applyBorder="1"/>
    <xf numFmtId="0" fontId="0" fillId="0" borderId="7" xfId="0" applyBorder="1"/>
    <xf numFmtId="0" fontId="0" fillId="0" borderId="8" xfId="0" applyBorder="1"/>
    <xf numFmtId="0" fontId="4" fillId="4" borderId="2" xfId="0" applyFont="1" applyFill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0" fillId="0" borderId="11" xfId="0" applyBorder="1"/>
    <xf numFmtId="0" fontId="5" fillId="0" borderId="1" xfId="0" applyFont="1" applyBorder="1" applyAlignment="1" applyProtection="1">
      <alignment horizontal="center"/>
      <protection locked="0"/>
    </xf>
    <xf numFmtId="2" fontId="0" fillId="0" borderId="9" xfId="0" applyNumberFormat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5" fillId="0" borderId="3" xfId="0" applyFont="1" applyBorder="1" applyAlignment="1" applyProtection="1">
      <alignment horizontal="center"/>
      <protection locked="0"/>
    </xf>
    <xf numFmtId="1" fontId="5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9" fillId="0" borderId="0" xfId="0" applyFont="1"/>
    <xf numFmtId="0" fontId="9" fillId="0" borderId="11" xfId="0" applyFont="1" applyBorder="1"/>
    <xf numFmtId="1" fontId="0" fillId="0" borderId="1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1" xfId="0" applyBorder="1" applyAlignment="1">
      <alignment horizontal="left"/>
    </xf>
    <xf numFmtId="0" fontId="0" fillId="0" borderId="0" xfId="0" applyAlignment="1">
      <alignment horizontal="left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left" vertical="center" indent="2"/>
    </xf>
    <xf numFmtId="0" fontId="8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19"/>
  <sheetViews>
    <sheetView tabSelected="1" zoomScaleNormal="100" workbookViewId="0">
      <selection activeCell="C3" sqref="C3"/>
    </sheetView>
  </sheetViews>
  <sheetFormatPr defaultColWidth="11.5703125" defaultRowHeight="12.75" x14ac:dyDescent="0.2"/>
  <cols>
    <col min="1" max="1" width="11.7109375" customWidth="1"/>
    <col min="2" max="2" width="18.42578125" customWidth="1"/>
    <col min="3" max="3" width="13.7109375" bestFit="1" customWidth="1"/>
  </cols>
  <sheetData>
    <row r="3" spans="2:11" ht="15" x14ac:dyDescent="0.25">
      <c r="B3" s="14" t="s">
        <v>10</v>
      </c>
      <c r="C3" s="16"/>
      <c r="D3" s="19">
        <f>C3*0.3048</f>
        <v>0</v>
      </c>
    </row>
    <row r="4" spans="2:11" ht="15" x14ac:dyDescent="0.25">
      <c r="B4" s="15" t="s">
        <v>11</v>
      </c>
      <c r="C4" s="17">
        <f>ROUND(D3,8)</f>
        <v>0</v>
      </c>
      <c r="D4" s="21" t="s">
        <v>15</v>
      </c>
      <c r="E4" s="22"/>
      <c r="F4" s="22"/>
      <c r="G4" s="22"/>
      <c r="H4" s="22"/>
      <c r="I4" s="22"/>
      <c r="J4" s="22"/>
      <c r="K4" s="22"/>
    </row>
    <row r="5" spans="2:11" ht="15" x14ac:dyDescent="0.25">
      <c r="B5" s="1" t="s">
        <v>0</v>
      </c>
      <c r="C5" s="4"/>
      <c r="D5" s="30" t="s">
        <v>12</v>
      </c>
      <c r="E5" s="31"/>
      <c r="F5" s="31"/>
      <c r="G5" s="31"/>
      <c r="H5" s="31"/>
      <c r="I5" s="31"/>
      <c r="J5" s="31"/>
      <c r="K5" s="31"/>
    </row>
    <row r="6" spans="2:11" ht="15" x14ac:dyDescent="0.25">
      <c r="B6" s="2" t="s">
        <v>1</v>
      </c>
      <c r="C6" s="5"/>
      <c r="D6" s="30"/>
      <c r="E6" s="31"/>
      <c r="F6" s="31"/>
      <c r="G6" s="31"/>
      <c r="H6" s="31"/>
      <c r="I6" s="31"/>
      <c r="J6" s="31"/>
      <c r="K6" s="31"/>
    </row>
    <row r="7" spans="2:11" ht="15" x14ac:dyDescent="0.25">
      <c r="B7" s="3" t="s">
        <v>2</v>
      </c>
      <c r="C7" s="13">
        <f>(C5-C6)*0.3048</f>
        <v>0</v>
      </c>
      <c r="D7" s="11"/>
    </row>
    <row r="8" spans="2:11" x14ac:dyDescent="0.2">
      <c r="B8" s="8"/>
      <c r="C8" s="8"/>
    </row>
    <row r="9" spans="2:11" ht="15" x14ac:dyDescent="0.25">
      <c r="B9" s="14" t="s">
        <v>8</v>
      </c>
      <c r="C9" s="12"/>
      <c r="D9" s="20">
        <f>C9*0.3048</f>
        <v>0</v>
      </c>
    </row>
    <row r="10" spans="2:11" ht="15" x14ac:dyDescent="0.25">
      <c r="B10" s="15" t="s">
        <v>9</v>
      </c>
      <c r="C10" s="17">
        <f>ROUND(D9,0)</f>
        <v>0</v>
      </c>
      <c r="D10" s="21" t="s">
        <v>14</v>
      </c>
      <c r="E10" s="22"/>
      <c r="F10" s="22"/>
      <c r="G10" s="22"/>
      <c r="H10" s="22"/>
      <c r="I10" s="22"/>
      <c r="J10" s="22"/>
      <c r="K10" s="22"/>
    </row>
    <row r="11" spans="2:11" ht="15" x14ac:dyDescent="0.25">
      <c r="B11" s="1" t="s">
        <v>0</v>
      </c>
      <c r="C11" s="5"/>
      <c r="D11" s="30" t="s">
        <v>13</v>
      </c>
      <c r="E11" s="31"/>
      <c r="F11" s="31"/>
      <c r="G11" s="31"/>
      <c r="H11" s="31"/>
      <c r="I11" s="31"/>
      <c r="J11" s="31"/>
      <c r="K11" s="31"/>
    </row>
    <row r="12" spans="2:11" ht="15" x14ac:dyDescent="0.25">
      <c r="B12" s="2" t="s">
        <v>1</v>
      </c>
      <c r="C12" s="5"/>
      <c r="D12" s="30"/>
      <c r="E12" s="31"/>
      <c r="F12" s="31"/>
      <c r="G12" s="31"/>
      <c r="H12" s="31"/>
      <c r="I12" s="31"/>
      <c r="J12" s="31"/>
      <c r="K12" s="31"/>
    </row>
    <row r="13" spans="2:11" ht="15" x14ac:dyDescent="0.25">
      <c r="B13" s="3" t="s">
        <v>2</v>
      </c>
      <c r="C13" s="13">
        <f>(C11-C12)*0.3048</f>
        <v>0</v>
      </c>
      <c r="D13" s="23"/>
      <c r="E13" s="24"/>
      <c r="F13" s="24"/>
      <c r="G13" s="24"/>
      <c r="H13" s="24"/>
    </row>
    <row r="14" spans="2:11" x14ac:dyDescent="0.2">
      <c r="B14" s="7"/>
      <c r="C14" s="7"/>
    </row>
    <row r="16" spans="2:11" x14ac:dyDescent="0.2">
      <c r="B16" s="6"/>
      <c r="C16" s="6"/>
      <c r="D16" s="6"/>
      <c r="E16" s="6"/>
    </row>
    <row r="17" spans="2:5" ht="15" customHeight="1" x14ac:dyDescent="0.2">
      <c r="B17" s="27" t="s">
        <v>7</v>
      </c>
      <c r="C17" s="28"/>
      <c r="D17" s="28"/>
      <c r="E17" s="29"/>
    </row>
    <row r="18" spans="2:5" ht="15" customHeight="1" x14ac:dyDescent="0.2">
      <c r="B18" s="25" t="s">
        <v>6</v>
      </c>
      <c r="C18" s="9" t="s">
        <v>3</v>
      </c>
      <c r="D18" s="9" t="s">
        <v>4</v>
      </c>
      <c r="E18" s="9" t="s">
        <v>5</v>
      </c>
    </row>
    <row r="19" spans="2:5" ht="15" customHeight="1" x14ac:dyDescent="0.2">
      <c r="B19" s="26"/>
      <c r="C19" s="18">
        <f>(C4-C10)/2</f>
        <v>0</v>
      </c>
      <c r="D19" s="10">
        <f>(C12*0.3048)-(C6*0.3048)</f>
        <v>0</v>
      </c>
      <c r="E19" s="18">
        <f>(C4-C10)/2</f>
        <v>0</v>
      </c>
    </row>
  </sheetData>
  <sheetProtection algorithmName="SHA-512" hashValue="WzQV4qF1K+hrjqUfZlhF/uN9ToP4UxO8XUfKGNJnS91j2mYP5P9mB3lP0OFO8BOEHOV3a0y1SQ8StHXXzRsmRw==" saltValue="u9QUxGG1nxHjEUqm57OH0g==" spinCount="100000" sheet="1" objects="1" scenarios="1" selectLockedCells="1"/>
  <mergeCells count="7">
    <mergeCell ref="D4:K4"/>
    <mergeCell ref="D10:K10"/>
    <mergeCell ref="D13:H13"/>
    <mergeCell ref="B18:B19"/>
    <mergeCell ref="B17:E17"/>
    <mergeCell ref="D5:K6"/>
    <mergeCell ref="D11:K12"/>
  </mergeCells>
  <dataValidations count="6">
    <dataValidation allowBlank="1" showErrorMessage="1" prompt="Input your INNER Terrain Width/Length in METERS here" sqref="C3:C4" xr:uid="{65D60E08-9C00-4A81-9603-703DA29FD77B}"/>
    <dataValidation allowBlank="1" showErrorMessage="1" prompt="Input your INNER MAX value in FEET here" sqref="C5" xr:uid="{A83AB527-B236-4037-8327-E8F4F4EEEA76}"/>
    <dataValidation allowBlank="1" showErrorMessage="1" prompt="Input your INNER MIN value in FEET here" sqref="C6" xr:uid="{9F40EFEB-B59D-446A-8D3E-46AF9381CBEA}"/>
    <dataValidation allowBlank="1" showErrorMessage="1" prompt="Input your OUTER Terrain Width/Length in METERS here" sqref="C9:C10" xr:uid="{BBBAD3DB-B7D7-4CB8-B4EA-7CD32EB82F74}"/>
    <dataValidation allowBlank="1" showErrorMessage="1" prompt="Input your OUTER MAX value in FEET here" sqref="C11" xr:uid="{F1655985-E55C-4F6B-AEB8-5BBFA8BB81F9}"/>
    <dataValidation allowBlank="1" showErrorMessage="1" prompt="Input your OUTER MIN value in FEET here" sqref="C12" xr:uid="{37DA9433-8B7D-40DF-B17C-A874B0E1E42D}"/>
  </dataValidation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</dc:creator>
  <dc:description/>
  <cp:lastModifiedBy>Andrew Taylor</cp:lastModifiedBy>
  <cp:revision>2</cp:revision>
  <dcterms:created xsi:type="dcterms:W3CDTF">2021-12-21T17:51:56Z</dcterms:created>
  <dcterms:modified xsi:type="dcterms:W3CDTF">2025-02-23T17:09:00Z</dcterms:modified>
  <dc:language>en-US</dc:language>
</cp:coreProperties>
</file>